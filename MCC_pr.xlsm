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ЭтаКнига" defaultThemeVersion="124226"/>
  <bookViews>
    <workbookView xWindow="480" yWindow="105" windowWidth="27795" windowHeight="12600"/>
  </bookViews>
  <sheets>
    <sheet name="Лист1" sheetId="1" r:id="rId1"/>
    <sheet name="Лист2" sheetId="2" r:id="rId2"/>
    <sheet name="Лист3" sheetId="3" r:id="rId3"/>
  </sheets>
  <calcPr calcId="144525"/>
</workbook>
</file>

<file path=xl/calcChain.xml><?xml version="1.0" encoding="utf-8"?>
<calcChain xmlns="http://schemas.openxmlformats.org/spreadsheetml/2006/main">
  <c r="H15" i="1" l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H16" i="1"/>
  <c r="I16" i="1"/>
  <c r="J16" i="1"/>
  <c r="K16" i="1"/>
  <c r="L16" i="1"/>
  <c r="M16" i="1"/>
  <c r="N16" i="1"/>
  <c r="O16" i="1"/>
  <c r="P16" i="1"/>
  <c r="Q16" i="1"/>
  <c r="R16" i="1"/>
  <c r="S16" i="1"/>
  <c r="T16" i="1"/>
  <c r="U16" i="1"/>
  <c r="V16" i="1"/>
  <c r="W16" i="1"/>
  <c r="X16" i="1"/>
  <c r="Y16" i="1"/>
  <c r="Z16" i="1"/>
  <c r="AA16" i="1"/>
  <c r="AB16" i="1"/>
  <c r="AC16" i="1"/>
  <c r="AD16" i="1"/>
  <c r="AE16" i="1"/>
  <c r="AF16" i="1"/>
  <c r="AG16" i="1"/>
  <c r="AH16" i="1"/>
  <c r="AI16" i="1"/>
  <c r="AJ16" i="1"/>
  <c r="F13" i="1"/>
  <c r="G16" i="1" s="1"/>
  <c r="G15" i="1" l="1"/>
  <c r="C5" i="1"/>
  <c r="H12" i="1"/>
  <c r="I12" i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BF12" i="1" s="1"/>
  <c r="BG12" i="1" s="1"/>
  <c r="BH12" i="1" s="1"/>
  <c r="BI12" i="1" s="1"/>
  <c r="BJ12" i="1" s="1"/>
  <c r="BK12" i="1" s="1"/>
  <c r="BL12" i="1" s="1"/>
  <c r="BM12" i="1" s="1"/>
  <c r="BN12" i="1" s="1"/>
  <c r="BO12" i="1" s="1"/>
  <c r="BP12" i="1" s="1"/>
  <c r="BQ12" i="1" s="1"/>
  <c r="BR12" i="1" s="1"/>
  <c r="BS12" i="1" s="1"/>
  <c r="BT12" i="1" s="1"/>
  <c r="BU12" i="1" s="1"/>
  <c r="BV12" i="1" s="1"/>
  <c r="BW12" i="1" s="1"/>
  <c r="BX12" i="1" s="1"/>
  <c r="BY12" i="1" s="1"/>
  <c r="BZ12" i="1" s="1"/>
  <c r="CA12" i="1" s="1"/>
  <c r="CB12" i="1" s="1"/>
  <c r="CC12" i="1" s="1"/>
  <c r="G12" i="1"/>
  <c r="C4" i="1"/>
</calcChain>
</file>

<file path=xl/sharedStrings.xml><?xml version="1.0" encoding="utf-8"?>
<sst xmlns="http://schemas.openxmlformats.org/spreadsheetml/2006/main" count="13" uniqueCount="12">
  <si>
    <t>L</t>
  </si>
  <si>
    <t>dx</t>
  </si>
  <si>
    <t>dt</t>
  </si>
  <si>
    <t>t</t>
  </si>
  <si>
    <t>Cp</t>
  </si>
  <si>
    <t>ro</t>
  </si>
  <si>
    <t>lamda</t>
  </si>
  <si>
    <t>T</t>
  </si>
  <si>
    <t>T_start</t>
  </si>
  <si>
    <t>T_end</t>
  </si>
  <si>
    <t>Term</t>
  </si>
  <si>
    <t>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</si>
</sst>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164" fontId="0" fillId="0" borderId="0" xfId="0" applyNumberFormat="1"/>
    <xf numFmtId="0" fontId="0" fillId="0" borderId="1" xfId="0" applyBorder="1"/>
    <xf numFmtId="164" fontId="0" fillId="0" borderId="1" xfId="0" applyNumberFormat="1" applyBorder="1"/>
    <xf numFmtId="165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T</c:v>
          </c:tx>
          <c:marker>
            <c:symbol val="none"/>
          </c:marker>
          <c:cat>
            <c:numRef>
              <c:f>Лист1!$F$12:$AJ$12</c:f>
              <c:numCache>
                <c:formatCode>0.000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cat>
          <c:val>
            <c:numRef>
              <c:f>Лист1!$F$13:$AJ$13</c:f>
              <c:numCache>
                <c:formatCode>General</c:formatCode>
                <c:ptCount val="31"/>
                <c:pt idx="0">
                  <c:v>299.99997763108735</c:v>
                </c:pt>
                <c:pt idx="1">
                  <c:v>293.33331096442066</c:v>
                </c:pt>
                <c:pt idx="2">
                  <c:v>286.6666443611611</c:v>
                </c:pt>
                <c:pt idx="3">
                  <c:v>279.99997782112894</c:v>
                </c:pt>
                <c:pt idx="4">
                  <c:v>273.33331134396514</c:v>
                </c:pt>
                <c:pt idx="5">
                  <c:v>266.66664492913264</c:v>
                </c:pt>
                <c:pt idx="6">
                  <c:v>259.99997857591751</c:v>
                </c:pt>
                <c:pt idx="7">
                  <c:v>253.3333122834313</c:v>
                </c:pt>
                <c:pt idx="8">
                  <c:v>246.66664605061328</c:v>
                </c:pt>
                <c:pt idx="9">
                  <c:v>239.99997987623377</c:v>
                </c:pt>
                <c:pt idx="10">
                  <c:v>233.33331375889719</c:v>
                </c:pt>
                <c:pt idx="11">
                  <c:v>226.66664769704656</c:v>
                </c:pt>
                <c:pt idx="12">
                  <c:v>219.9999816889673</c:v>
                </c:pt>
                <c:pt idx="13">
                  <c:v>213.33331573279273</c:v>
                </c:pt>
                <c:pt idx="14">
                  <c:v>206.66664982650872</c:v>
                </c:pt>
                <c:pt idx="15">
                  <c:v>199.99998396796005</c:v>
                </c:pt>
                <c:pt idx="16">
                  <c:v>193.33331815485587</c:v>
                </c:pt>
                <c:pt idx="17">
                  <c:v>186.6666523847768</c:v>
                </c:pt>
                <c:pt idx="18">
                  <c:v>179.99998665518126</c:v>
                </c:pt>
                <c:pt idx="19">
                  <c:v>173.33332096341309</c:v>
                </c:pt>
                <c:pt idx="20">
                  <c:v>166.66665530670878</c:v>
                </c:pt>
                <c:pt idx="21">
                  <c:v>159.9999896822055</c:v>
                </c:pt>
                <c:pt idx="22">
                  <c:v>153.33332408694912</c:v>
                </c:pt>
                <c:pt idx="23">
                  <c:v>146.66665851790265</c:v>
                </c:pt>
                <c:pt idx="24">
                  <c:v>139.99999297195473</c:v>
                </c:pt>
                <c:pt idx="25">
                  <c:v>133.33332744592857</c:v>
                </c:pt>
                <c:pt idx="26">
                  <c:v>126.66666193659087</c:v>
                </c:pt>
                <c:pt idx="27">
                  <c:v>119.99999644066111</c:v>
                </c:pt>
                <c:pt idx="28">
                  <c:v>113.3333309548207</c:v>
                </c:pt>
                <c:pt idx="29">
                  <c:v>106.66666547572241</c:v>
                </c:pt>
                <c:pt idx="30">
                  <c:v>100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0684160"/>
        <c:axId val="230685696"/>
      </c:lineChart>
      <c:catAx>
        <c:axId val="2306841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30685696"/>
        <c:crosses val="autoZero"/>
        <c:auto val="1"/>
        <c:lblAlgn val="ctr"/>
        <c:lblOffset val="100"/>
        <c:noMultiLvlLbl val="0"/>
      </c:catAx>
      <c:valAx>
        <c:axId val="230685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68416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323850</xdr:colOff>
      <xdr:row>17</xdr:row>
      <xdr:rowOff>171450</xdr:rowOff>
    </xdr:from>
    <xdr:to>
      <xdr:col>10</xdr:col>
      <xdr:colOff>600075</xdr:colOff>
      <xdr:row>32</xdr:row>
      <xdr:rowOff>57150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3:CI16"/>
  <sheetViews>
    <sheetView tabSelected="1" workbookViewId="0">
      <selection activeCell="AF29" sqref="AF29"/>
    </sheetView>
  </sheetViews>
  <sheetFormatPr defaultRowHeight="15" x14ac:dyDescent="0.25"/>
  <cols>
    <col min="3" max="3" width="12" bestFit="1" customWidth="1"/>
    <col min="7" max="7" width="9.5703125" bestFit="1" customWidth="1"/>
  </cols>
  <sheetData>
    <row r="3" spans="2:87" x14ac:dyDescent="0.25">
      <c r="B3" s="2" t="s">
        <v>0</v>
      </c>
      <c r="C3" s="2">
        <v>0.1</v>
      </c>
    </row>
    <row r="4" spans="2:87" x14ac:dyDescent="0.25">
      <c r="B4" s="2" t="s">
        <v>1</v>
      </c>
      <c r="C4" s="3">
        <f>C3/30</f>
        <v>3.3333333333333335E-3</v>
      </c>
    </row>
    <row r="5" spans="2:87" x14ac:dyDescent="0.25">
      <c r="B5" s="2" t="s">
        <v>2</v>
      </c>
      <c r="C5" s="3">
        <f>(C9*C8*C4^2)/(2*C10)</f>
        <v>0.4333333333333334</v>
      </c>
    </row>
    <row r="6" spans="2:87" x14ac:dyDescent="0.25">
      <c r="B6" s="2" t="s">
        <v>3</v>
      </c>
      <c r="C6" s="2">
        <v>5000</v>
      </c>
      <c r="D6">
        <v>5000.2333333333345</v>
      </c>
    </row>
    <row r="8" spans="2:87" x14ac:dyDescent="0.25">
      <c r="B8" s="2" t="s">
        <v>4</v>
      </c>
      <c r="C8" s="2">
        <v>460</v>
      </c>
    </row>
    <row r="9" spans="2:87" x14ac:dyDescent="0.25">
      <c r="B9" s="2" t="s">
        <v>5</v>
      </c>
      <c r="C9" s="2">
        <v>7800</v>
      </c>
    </row>
    <row r="10" spans="2:87" x14ac:dyDescent="0.25">
      <c r="B10" s="2" t="s">
        <v>6</v>
      </c>
      <c r="C10" s="2">
        <v>46</v>
      </c>
    </row>
    <row r="11" spans="2:87" x14ac:dyDescent="0.25">
      <c r="F11" s="2">
        <v>1</v>
      </c>
      <c r="G11" s="2">
        <v>2</v>
      </c>
      <c r="H11" s="2">
        <v>3</v>
      </c>
      <c r="I11" s="2">
        <v>4</v>
      </c>
      <c r="J11" s="2">
        <v>5</v>
      </c>
      <c r="K11" s="2">
        <v>6</v>
      </c>
      <c r="L11" s="2">
        <v>7</v>
      </c>
      <c r="M11" s="2">
        <v>8</v>
      </c>
      <c r="N11" s="2">
        <v>9</v>
      </c>
      <c r="O11" s="2">
        <v>10</v>
      </c>
      <c r="P11" s="2">
        <v>11</v>
      </c>
      <c r="Q11" s="2">
        <v>12</v>
      </c>
      <c r="R11" s="2">
        <v>13</v>
      </c>
      <c r="S11" s="2">
        <v>14</v>
      </c>
      <c r="T11" s="2">
        <v>15</v>
      </c>
      <c r="U11" s="2">
        <v>16</v>
      </c>
      <c r="V11" s="2">
        <v>17</v>
      </c>
      <c r="W11" s="2">
        <v>18</v>
      </c>
      <c r="X11" s="2">
        <v>19</v>
      </c>
      <c r="Y11" s="2">
        <v>20</v>
      </c>
      <c r="Z11" s="2">
        <v>21</v>
      </c>
      <c r="AA11" s="2">
        <v>22</v>
      </c>
      <c r="AB11" s="2">
        <v>23</v>
      </c>
      <c r="AC11" s="2">
        <v>24</v>
      </c>
      <c r="AD11" s="2">
        <v>25</v>
      </c>
      <c r="AE11" s="2">
        <v>26</v>
      </c>
      <c r="AF11" s="2">
        <v>27</v>
      </c>
      <c r="AG11" s="2">
        <v>28</v>
      </c>
      <c r="AH11" s="2">
        <v>29</v>
      </c>
      <c r="AI11" s="2">
        <v>30</v>
      </c>
      <c r="AJ11" s="2">
        <v>31</v>
      </c>
      <c r="BE11">
        <v>52</v>
      </c>
      <c r="BF11">
        <v>53</v>
      </c>
      <c r="BG11">
        <v>54</v>
      </c>
      <c r="BH11">
        <v>55</v>
      </c>
      <c r="BI11">
        <v>56</v>
      </c>
      <c r="BJ11">
        <v>57</v>
      </c>
      <c r="BK11">
        <v>58</v>
      </c>
      <c r="BL11">
        <v>59</v>
      </c>
      <c r="BM11">
        <v>60</v>
      </c>
      <c r="BN11">
        <v>61</v>
      </c>
      <c r="BO11">
        <v>62</v>
      </c>
      <c r="BP11">
        <v>63</v>
      </c>
      <c r="BQ11">
        <v>64</v>
      </c>
      <c r="BR11">
        <v>65</v>
      </c>
      <c r="BS11">
        <v>66</v>
      </c>
      <c r="BT11">
        <v>67</v>
      </c>
      <c r="BU11">
        <v>68</v>
      </c>
      <c r="BV11">
        <v>69</v>
      </c>
      <c r="BW11">
        <v>70</v>
      </c>
      <c r="BX11">
        <v>71</v>
      </c>
      <c r="BY11">
        <v>72</v>
      </c>
      <c r="BZ11">
        <v>73</v>
      </c>
      <c r="CA11">
        <v>74</v>
      </c>
      <c r="CB11">
        <v>75</v>
      </c>
      <c r="CC11">
        <v>76</v>
      </c>
      <c r="CD11">
        <v>77</v>
      </c>
      <c r="CE11">
        <v>78</v>
      </c>
      <c r="CF11">
        <v>79</v>
      </c>
      <c r="CG11">
        <v>80</v>
      </c>
      <c r="CH11">
        <v>81</v>
      </c>
      <c r="CI11">
        <v>82</v>
      </c>
    </row>
    <row r="12" spans="2:87" x14ac:dyDescent="0.25">
      <c r="B12" s="2" t="s">
        <v>8</v>
      </c>
      <c r="C12" s="2">
        <v>300</v>
      </c>
      <c r="E12" t="s">
        <v>0</v>
      </c>
      <c r="F12" s="2">
        <v>0</v>
      </c>
      <c r="G12" s="3">
        <f>F12+$C$4</f>
        <v>3.3333333333333335E-3</v>
      </c>
      <c r="H12" s="3">
        <f t="shared" ref="H12:BS12" si="0">G12+$C$4</f>
        <v>6.6666666666666671E-3</v>
      </c>
      <c r="I12" s="3">
        <f t="shared" si="0"/>
        <v>0.01</v>
      </c>
      <c r="J12" s="3">
        <f t="shared" si="0"/>
        <v>1.3333333333333334E-2</v>
      </c>
      <c r="K12" s="3">
        <f t="shared" si="0"/>
        <v>1.6666666666666666E-2</v>
      </c>
      <c r="L12" s="3">
        <f t="shared" si="0"/>
        <v>0.02</v>
      </c>
      <c r="M12" s="3">
        <f t="shared" si="0"/>
        <v>2.3333333333333334E-2</v>
      </c>
      <c r="N12" s="3">
        <f t="shared" si="0"/>
        <v>2.6666666666666668E-2</v>
      </c>
      <c r="O12" s="3">
        <f t="shared" si="0"/>
        <v>3.0000000000000002E-2</v>
      </c>
      <c r="P12" s="3">
        <f t="shared" si="0"/>
        <v>3.3333333333333333E-2</v>
      </c>
      <c r="Q12" s="3">
        <f t="shared" si="0"/>
        <v>3.6666666666666667E-2</v>
      </c>
      <c r="R12" s="3">
        <f t="shared" si="0"/>
        <v>0.04</v>
      </c>
      <c r="S12" s="3">
        <f t="shared" si="0"/>
        <v>4.3333333333333335E-2</v>
      </c>
      <c r="T12" s="3">
        <f t="shared" si="0"/>
        <v>4.6666666666666669E-2</v>
      </c>
      <c r="U12" s="3">
        <f t="shared" si="0"/>
        <v>0.05</v>
      </c>
      <c r="V12" s="3">
        <f t="shared" si="0"/>
        <v>5.3333333333333337E-2</v>
      </c>
      <c r="W12" s="3">
        <f t="shared" si="0"/>
        <v>5.6666666666666671E-2</v>
      </c>
      <c r="X12" s="3">
        <f t="shared" si="0"/>
        <v>6.0000000000000005E-2</v>
      </c>
      <c r="Y12" s="3">
        <f t="shared" si="0"/>
        <v>6.3333333333333339E-2</v>
      </c>
      <c r="Z12" s="3">
        <f t="shared" si="0"/>
        <v>6.6666666666666666E-2</v>
      </c>
      <c r="AA12" s="3">
        <f t="shared" si="0"/>
        <v>6.9999999999999993E-2</v>
      </c>
      <c r="AB12" s="3">
        <f t="shared" si="0"/>
        <v>7.333333333333332E-2</v>
      </c>
      <c r="AC12" s="3">
        <f t="shared" si="0"/>
        <v>7.6666666666666647E-2</v>
      </c>
      <c r="AD12" s="3">
        <f t="shared" si="0"/>
        <v>7.9999999999999974E-2</v>
      </c>
      <c r="AE12" s="3">
        <f t="shared" si="0"/>
        <v>8.3333333333333301E-2</v>
      </c>
      <c r="AF12" s="3">
        <f t="shared" si="0"/>
        <v>8.6666666666666628E-2</v>
      </c>
      <c r="AG12" s="3">
        <f t="shared" si="0"/>
        <v>8.9999999999999955E-2</v>
      </c>
      <c r="AH12" s="3">
        <f t="shared" si="0"/>
        <v>9.3333333333333282E-2</v>
      </c>
      <c r="AI12" s="3">
        <f t="shared" si="0"/>
        <v>9.6666666666666609E-2</v>
      </c>
      <c r="AJ12" s="3">
        <f t="shared" si="0"/>
        <v>9.9999999999999936E-2</v>
      </c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>
        <f t="shared" si="0"/>
        <v>3.3333333333333335E-3</v>
      </c>
      <c r="BG12" s="1">
        <f t="shared" si="0"/>
        <v>6.6666666666666671E-3</v>
      </c>
      <c r="BH12" s="1">
        <f t="shared" si="0"/>
        <v>0.01</v>
      </c>
      <c r="BI12" s="1">
        <f t="shared" si="0"/>
        <v>1.3333333333333334E-2</v>
      </c>
      <c r="BJ12" s="1">
        <f t="shared" si="0"/>
        <v>1.6666666666666666E-2</v>
      </c>
      <c r="BK12" s="1">
        <f t="shared" si="0"/>
        <v>0.02</v>
      </c>
      <c r="BL12" s="1">
        <f t="shared" si="0"/>
        <v>2.3333333333333334E-2</v>
      </c>
      <c r="BM12" s="1">
        <f t="shared" si="0"/>
        <v>2.6666666666666668E-2</v>
      </c>
      <c r="BN12" s="1">
        <f t="shared" si="0"/>
        <v>3.0000000000000002E-2</v>
      </c>
      <c r="BO12" s="1">
        <f t="shared" si="0"/>
        <v>3.3333333333333333E-2</v>
      </c>
      <c r="BP12" s="1">
        <f t="shared" si="0"/>
        <v>3.6666666666666667E-2</v>
      </c>
      <c r="BQ12" s="1">
        <f t="shared" si="0"/>
        <v>0.04</v>
      </c>
      <c r="BR12" s="1">
        <f t="shared" si="0"/>
        <v>4.3333333333333335E-2</v>
      </c>
      <c r="BS12" s="1">
        <f t="shared" si="0"/>
        <v>4.6666666666666669E-2</v>
      </c>
      <c r="BT12" s="1">
        <f t="shared" ref="BT12:CC12" si="1">BS12+$C$4</f>
        <v>0.05</v>
      </c>
      <c r="BU12" s="1">
        <f t="shared" si="1"/>
        <v>5.3333333333333337E-2</v>
      </c>
      <c r="BV12" s="1">
        <f t="shared" si="1"/>
        <v>5.6666666666666671E-2</v>
      </c>
      <c r="BW12" s="1">
        <f t="shared" si="1"/>
        <v>6.0000000000000005E-2</v>
      </c>
      <c r="BX12" s="1">
        <f t="shared" si="1"/>
        <v>6.3333333333333339E-2</v>
      </c>
      <c r="BY12" s="1">
        <f t="shared" si="1"/>
        <v>6.6666666666666666E-2</v>
      </c>
      <c r="BZ12" s="1">
        <f t="shared" si="1"/>
        <v>6.9999999999999993E-2</v>
      </c>
      <c r="CA12" s="1">
        <f t="shared" si="1"/>
        <v>7.333333333333332E-2</v>
      </c>
      <c r="CB12" s="1">
        <f t="shared" si="1"/>
        <v>7.6666666666666647E-2</v>
      </c>
      <c r="CC12" s="1">
        <f t="shared" si="1"/>
        <v>7.9999999999999974E-2</v>
      </c>
    </row>
    <row r="13" spans="2:87" x14ac:dyDescent="0.25">
      <c r="B13" s="2" t="s">
        <v>9</v>
      </c>
      <c r="C13" s="2">
        <v>100</v>
      </c>
      <c r="E13" t="s">
        <v>7</v>
      </c>
      <c r="F13">
        <f>(F16/C10)*C4+G13</f>
        <v>299.99997763108735</v>
      </c>
      <c r="G13">
        <v>293.33331096442066</v>
      </c>
      <c r="H13">
        <v>286.6666443611611</v>
      </c>
      <c r="I13">
        <v>279.99997782112894</v>
      </c>
      <c r="J13">
        <v>273.33331134396514</v>
      </c>
      <c r="K13">
        <v>266.66664492913264</v>
      </c>
      <c r="L13">
        <v>259.99997857591751</v>
      </c>
      <c r="M13">
        <v>253.3333122834313</v>
      </c>
      <c r="N13">
        <v>246.66664605061328</v>
      </c>
      <c r="O13">
        <v>239.99997987623377</v>
      </c>
      <c r="P13">
        <v>233.33331375889719</v>
      </c>
      <c r="Q13">
        <v>226.66664769704656</v>
      </c>
      <c r="R13">
        <v>219.9999816889673</v>
      </c>
      <c r="S13">
        <v>213.33331573279273</v>
      </c>
      <c r="T13">
        <v>206.66664982650872</v>
      </c>
      <c r="U13">
        <v>199.99998396796005</v>
      </c>
      <c r="V13">
        <v>193.33331815485587</v>
      </c>
      <c r="W13">
        <v>186.6666523847768</v>
      </c>
      <c r="X13">
        <v>179.99998665518126</v>
      </c>
      <c r="Y13">
        <v>173.33332096341309</v>
      </c>
      <c r="Z13">
        <v>166.66665530670878</v>
      </c>
      <c r="AA13">
        <v>159.9999896822055</v>
      </c>
      <c r="AB13">
        <v>153.33332408694912</v>
      </c>
      <c r="AC13">
        <v>146.66665851790265</v>
      </c>
      <c r="AD13">
        <v>139.99999297195473</v>
      </c>
      <c r="AE13">
        <v>133.33332744592857</v>
      </c>
      <c r="AF13">
        <v>126.66666193659087</v>
      </c>
      <c r="AG13">
        <v>119.99999644066111</v>
      </c>
      <c r="AH13">
        <v>113.3333309548207</v>
      </c>
      <c r="AI13">
        <v>106.66666547572241</v>
      </c>
      <c r="AJ13">
        <v>100</v>
      </c>
    </row>
    <row r="15" spans="2:87" x14ac:dyDescent="0.25">
      <c r="E15" t="s">
        <v>10</v>
      </c>
      <c r="G15">
        <f>G13+(($C$10*$C$5)/($C$9*$C$8))*((H13-2*G13+F13)/$C$4^2)</f>
        <v>293.33331099612423</v>
      </c>
      <c r="H15">
        <f t="shared" ref="H15:AI15" si="2">H13+(($C$10*$C$5)/($C$9*$C$8))*((I13-2*H13+G13)/$C$4^2)</f>
        <v>286.6666443927748</v>
      </c>
      <c r="I15">
        <f t="shared" si="2"/>
        <v>279.99997785256312</v>
      </c>
      <c r="J15">
        <f t="shared" si="2"/>
        <v>273.33331137513079</v>
      </c>
      <c r="K15">
        <f t="shared" si="2"/>
        <v>266.66664495994132</v>
      </c>
      <c r="L15">
        <f t="shared" si="2"/>
        <v>259.99997860628196</v>
      </c>
      <c r="M15">
        <f t="shared" si="2"/>
        <v>253.3333123132654</v>
      </c>
      <c r="N15">
        <f t="shared" si="2"/>
        <v>246.66664607983253</v>
      </c>
      <c r="O15">
        <f t="shared" si="2"/>
        <v>239.99997990475524</v>
      </c>
      <c r="P15">
        <f t="shared" si="2"/>
        <v>233.33331378664016</v>
      </c>
      <c r="Q15">
        <f t="shared" si="2"/>
        <v>226.66664772393224</v>
      </c>
      <c r="R15">
        <f t="shared" si="2"/>
        <v>219.99998171491964</v>
      </c>
      <c r="S15">
        <f t="shared" si="2"/>
        <v>213.33331575773801</v>
      </c>
      <c r="T15">
        <f t="shared" si="2"/>
        <v>206.66664985037639</v>
      </c>
      <c r="U15">
        <f t="shared" si="2"/>
        <v>199.9999839906823</v>
      </c>
      <c r="V15">
        <f t="shared" si="2"/>
        <v>193.33331817636844</v>
      </c>
      <c r="W15">
        <f t="shared" si="2"/>
        <v>186.66665240501857</v>
      </c>
      <c r="X15">
        <f t="shared" si="2"/>
        <v>179.99998667409494</v>
      </c>
      <c r="Y15">
        <f t="shared" si="2"/>
        <v>173.33332098094502</v>
      </c>
      <c r="Z15">
        <f t="shared" si="2"/>
        <v>166.66665532280928</v>
      </c>
      <c r="AA15">
        <f t="shared" si="2"/>
        <v>159.99998969682895</v>
      </c>
      <c r="AB15">
        <f t="shared" si="2"/>
        <v>153.33332410005409</v>
      </c>
      <c r="AC15">
        <f t="shared" si="2"/>
        <v>146.66665852945192</v>
      </c>
      <c r="AD15">
        <f t="shared" si="2"/>
        <v>139.99999298191563</v>
      </c>
      <c r="AE15">
        <f t="shared" si="2"/>
        <v>133.33332745427279</v>
      </c>
      <c r="AF15">
        <f t="shared" si="2"/>
        <v>126.66666194329484</v>
      </c>
      <c r="AG15">
        <f t="shared" si="2"/>
        <v>119.99999644570579</v>
      </c>
      <c r="AH15">
        <f t="shared" si="2"/>
        <v>113.33333095819177</v>
      </c>
      <c r="AI15">
        <f t="shared" si="2"/>
        <v>106.66666547741035</v>
      </c>
    </row>
    <row r="16" spans="2:87" x14ac:dyDescent="0.25">
      <c r="E16" t="s">
        <v>11</v>
      </c>
      <c r="F16" s="4">
        <v>92000</v>
      </c>
      <c r="G16" s="4">
        <f>$C$10*(-(G13-F13)/$C$4)</f>
        <v>92000.000000000247</v>
      </c>
      <c r="H16" s="4">
        <f t="shared" ref="H16:AJ16" si="3">$C$10*(-(H13-G13)/$C$4)</f>
        <v>91999.999124981885</v>
      </c>
      <c r="I16" s="4">
        <f t="shared" si="3"/>
        <v>91999.998252443896</v>
      </c>
      <c r="J16" s="4">
        <f t="shared" si="3"/>
        <v>91999.997384860442</v>
      </c>
      <c r="K16" s="4">
        <f t="shared" si="3"/>
        <v>91999.996524688366</v>
      </c>
      <c r="L16" s="4">
        <f t="shared" si="3"/>
        <v>91999.995674368853</v>
      </c>
      <c r="M16" s="4">
        <f t="shared" si="3"/>
        <v>91999.994836309721</v>
      </c>
      <c r="N16" s="4">
        <f t="shared" si="3"/>
        <v>91999.994012888623</v>
      </c>
      <c r="O16" s="4">
        <f t="shared" si="3"/>
        <v>91999.993206437299</v>
      </c>
      <c r="P16" s="4">
        <f t="shared" si="3"/>
        <v>91999.992419244736</v>
      </c>
      <c r="Q16" s="4">
        <f t="shared" si="3"/>
        <v>91999.991653538746</v>
      </c>
      <c r="R16" s="4">
        <f t="shared" si="3"/>
        <v>91999.990911493791</v>
      </c>
      <c r="S16" s="4">
        <f t="shared" si="3"/>
        <v>91999.990195209044</v>
      </c>
      <c r="T16" s="4">
        <f t="shared" si="3"/>
        <v>91999.989506719328</v>
      </c>
      <c r="U16" s="4">
        <f t="shared" si="3"/>
        <v>91999.988847971617</v>
      </c>
      <c r="V16" s="4">
        <f t="shared" si="3"/>
        <v>91999.988220837593</v>
      </c>
      <c r="W16" s="4">
        <f t="shared" si="3"/>
        <v>91999.987627091265</v>
      </c>
      <c r="X16" s="4">
        <f t="shared" si="3"/>
        <v>91999.987068418384</v>
      </c>
      <c r="Y16" s="4">
        <f t="shared" si="3"/>
        <v>91999.986546400789</v>
      </c>
      <c r="Z16" s="4">
        <f t="shared" si="3"/>
        <v>91999.986062519471</v>
      </c>
      <c r="AA16" s="4">
        <f t="shared" si="3"/>
        <v>91999.985618145278</v>
      </c>
      <c r="AB16" s="4">
        <f t="shared" si="3"/>
        <v>91999.985214537985</v>
      </c>
      <c r="AC16" s="4">
        <f t="shared" si="3"/>
        <v>91999.984852841313</v>
      </c>
      <c r="AD16" s="4">
        <f t="shared" si="3"/>
        <v>91999.984534081304</v>
      </c>
      <c r="AE16" s="4">
        <f t="shared" si="3"/>
        <v>91999.984259160876</v>
      </c>
      <c r="AF16" s="4">
        <f t="shared" si="3"/>
        <v>91999.984028860315</v>
      </c>
      <c r="AG16" s="4">
        <f t="shared" si="3"/>
        <v>91999.98384383072</v>
      </c>
      <c r="AH16" s="4">
        <f t="shared" si="3"/>
        <v>91999.983704597675</v>
      </c>
      <c r="AI16" s="4">
        <f t="shared" si="3"/>
        <v>91999.983611556323</v>
      </c>
      <c r="AJ16" s="4">
        <f t="shared" si="3"/>
        <v>91999.983564969269</v>
      </c>
    </row>
  </sheetData>
  <conditionalFormatting sqref="F13:AJ13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">
      <colorScale>
        <cfvo type="min"/>
        <cfvo type="max"/>
        <color rgb="FFFF7128"/>
        <color rgb="FFFFEF9C"/>
      </colorScale>
    </cfRule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Asus</cp:lastModifiedBy>
  <dcterms:created xsi:type="dcterms:W3CDTF">2021-02-25T06:14:45Z</dcterms:created>
  <dcterms:modified xsi:type="dcterms:W3CDTF">2021-02-28T12:33:52Z</dcterms:modified>
</cp:coreProperties>
</file>